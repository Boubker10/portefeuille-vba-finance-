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tilisateurs\Vincent\Documents\M1\IMF\Projet\"/>
    </mc:Choice>
  </mc:AlternateContent>
  <xr:revisionPtr revIDLastSave="0" documentId="13_ncr:1_{472377B3-D9B8-4AE8-B209-5DAA715F2C67}" xr6:coauthVersionLast="47" xr6:coauthVersionMax="47" xr10:uidLastSave="{00000000-0000-0000-0000-000000000000}"/>
  <bookViews>
    <workbookView xWindow="-120" yWindow="-120" windowWidth="38640" windowHeight="21120" activeTab="2" xr2:uid="{00000000-000D-0000-FFFF-FFFF00000000}"/>
  </bookViews>
  <sheets>
    <sheet name="Input Data" sheetId="4" r:id="rId1"/>
    <sheet name="Userform" sheetId="9" r:id="rId2"/>
    <sheet name="Output Data" sheetId="10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5" i="10" l="1"/>
  <c r="E64" i="10"/>
  <c r="B64" i="10"/>
  <c r="B58" i="10"/>
  <c r="E57" i="10"/>
  <c r="E56" i="10"/>
  <c r="B52" i="10"/>
  <c r="E51" i="10"/>
  <c r="E50" i="10"/>
  <c r="E62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19C4B1-3418-4545-A92F-B7620D627DE4}" keepAlive="1" name="Requête - AF PA" description="Connexion à la requête « AF PA » dans le classeur." type="5" refreshedVersion="8" background="1" saveData="1">
    <dbPr connection="Provider=Microsoft.Mashup.OleDb.1;Data Source=$Workbook$;Location=&quot;AF PA&quot;;Extended Properties=&quot;&quot;" command="SELECT * FROM [AF PA]"/>
  </connection>
  <connection id="2" xr16:uid="{F7E8509F-E916-47D1-B5FF-667183CB42F5}" keepAlive="1" name="Requête - MC PA" description="Connexion à la requête « MC PA » dans le classeur." type="5" refreshedVersion="0" background="1">
    <dbPr connection="Provider=Microsoft.Mashup.OleDb.1;Data Source=$Workbook$;Location=&quot;MC PA&quot;;Extended Properties=&quot;&quot;" command="SELECT * FROM [MC PA]"/>
  </connection>
  <connection id="3" xr16:uid="{D4D5D267-7622-404E-9B77-3CB44B7B1F8E}" keepAlive="1" name="Requête - MC PA (2)" description="Connexion à la requête « MC PA (2) » dans le classeur." type="5" refreshedVersion="0" background="1">
    <dbPr connection="Provider=Microsoft.Mashup.OleDb.1;Data Source=$Workbook$;Location=&quot;MC PA (2)&quot;;Extended Properties=&quot;&quot;" command="SELECT * FROM [MC PA (2)]"/>
  </connection>
</connections>
</file>

<file path=xl/sharedStrings.xml><?xml version="1.0" encoding="utf-8"?>
<sst xmlns="http://schemas.openxmlformats.org/spreadsheetml/2006/main" count="114" uniqueCount="33">
  <si>
    <t>Date</t>
  </si>
  <si>
    <t>LVMH</t>
  </si>
  <si>
    <t>Danone</t>
  </si>
  <si>
    <t>Eiffage</t>
  </si>
  <si>
    <t>Voltalia</t>
  </si>
  <si>
    <t>Air Liquide</t>
  </si>
  <si>
    <t>Mercialys</t>
  </si>
  <si>
    <t>Prix au 08/12/2023</t>
  </si>
  <si>
    <t>Nom Action</t>
  </si>
  <si>
    <t>Nombre d'Action</t>
  </si>
  <si>
    <t>CAC 40</t>
  </si>
  <si>
    <t>Actions</t>
  </si>
  <si>
    <t xml:space="preserve">LVMH </t>
  </si>
  <si>
    <t>Rentabilité</t>
  </si>
  <si>
    <t>Volatilité</t>
  </si>
  <si>
    <t>Bêta</t>
  </si>
  <si>
    <t>MEDAF</t>
  </si>
  <si>
    <t>Matrice de Corrélation</t>
  </si>
  <si>
    <t>Rentabilité du portefeuille</t>
  </si>
  <si>
    <t>Volatilité du portefeuille</t>
  </si>
  <si>
    <t>CAC40</t>
  </si>
  <si>
    <t>Quantité Utilisateur</t>
  </si>
  <si>
    <t>Taux sans risque</t>
  </si>
  <si>
    <t>Profil risquophobe</t>
  </si>
  <si>
    <t>Maximiser la rentabilité</t>
  </si>
  <si>
    <t>Nombre</t>
  </si>
  <si>
    <t>Poids Eiffage</t>
  </si>
  <si>
    <t>Poids Mercialys</t>
  </si>
  <si>
    <t>Minimiser le risque</t>
  </si>
  <si>
    <t>Maximiser le Ratio de Sharpe</t>
  </si>
  <si>
    <t>Ratio de Sharpe</t>
  </si>
  <si>
    <t>Profil risquophile</t>
  </si>
  <si>
    <t>Maxisation Sharpe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</si>
</sst>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rgb="FF000000"/>
      <name val="Calibri"/>
      <family val="2"/>
    </font>
    <font>
      <sz val="11"/>
      <color theme="1" tint="0.249977111117893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theme="4"/>
      </patternFill>
    </fill>
    <fill>
      <patternFill patternType="solid">
        <fgColor theme="5" tint="0.39997558519241921"/>
        <bgColor theme="4"/>
      </patternFill>
    </fill>
    <fill>
      <patternFill patternType="solid">
        <fgColor theme="6" tint="0.39997558519241921"/>
        <bgColor theme="4"/>
      </patternFill>
    </fill>
    <fill>
      <patternFill patternType="solid">
        <fgColor theme="7" tint="0.39997558519241921"/>
        <bgColor theme="4"/>
      </patternFill>
    </fill>
    <fill>
      <patternFill patternType="solid">
        <fgColor theme="9" tint="0.39997558519241921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theme="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5"/>
      </bottom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/>
      <right style="thick">
        <color theme="5"/>
      </right>
      <top/>
      <bottom/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1" fillId="2" borderId="0" applyNumberFormat="0" applyBorder="0" applyAlignment="0" applyProtection="0"/>
    <xf numFmtId="0" fontId="22" fillId="3" borderId="0" applyNumberFormat="0" applyBorder="0" applyAlignment="0" applyProtection="0"/>
    <xf numFmtId="0" fontId="23" fillId="4" borderId="0" applyNumberFormat="0" applyBorder="0" applyAlignment="0" applyProtection="0"/>
    <xf numFmtId="0" fontId="24" fillId="5" borderId="4" applyNumberFormat="0" applyAlignment="0" applyProtection="0"/>
    <xf numFmtId="0" fontId="25" fillId="6" borderId="5" applyNumberFormat="0" applyAlignment="0" applyProtection="0"/>
    <xf numFmtId="0" fontId="26" fillId="6" borderId="4" applyNumberFormat="0" applyAlignment="0" applyProtection="0"/>
    <xf numFmtId="0" fontId="27" fillId="0" borderId="6" applyNumberFormat="0" applyFill="0" applyAlignment="0" applyProtection="0"/>
    <xf numFmtId="0" fontId="19" fillId="7" borderId="7" applyNumberFormat="0" applyAlignment="0" applyProtection="0"/>
    <xf numFmtId="0" fontId="28" fillId="0" borderId="0" applyNumberFormat="0" applyFill="0" applyBorder="0" applyAlignment="0" applyProtection="0"/>
    <xf numFmtId="0" fontId="18" fillId="8" borderId="8" applyNumberFormat="0" applyFont="0" applyAlignment="0" applyProtection="0"/>
    <xf numFmtId="0" fontId="29" fillId="0" borderId="0" applyNumberFormat="0" applyFill="0" applyBorder="0" applyAlignment="0" applyProtection="0"/>
    <xf numFmtId="0" fontId="30" fillId="0" borderId="9" applyNumberFormat="0" applyFill="0" applyAlignment="0" applyProtection="0"/>
    <xf numFmtId="0" fontId="20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20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20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20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20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20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79">
    <xf numFmtId="0" fontId="0" fillId="0" borderId="0" xfId="0"/>
    <xf numFmtId="14" fontId="0" fillId="0" borderId="0" xfId="0" applyNumberFormat="1"/>
    <xf numFmtId="0" fontId="0" fillId="0" borderId="11" xfId="0" applyBorder="1"/>
    <xf numFmtId="14" fontId="0" fillId="0" borderId="10" xfId="0" applyNumberFormat="1" applyBorder="1"/>
    <xf numFmtId="0" fontId="20" fillId="0" borderId="0" xfId="0" applyFont="1"/>
    <xf numFmtId="14" fontId="20" fillId="0" borderId="0" xfId="0" applyNumberFormat="1" applyFont="1"/>
    <xf numFmtId="0" fontId="1" fillId="0" borderId="0" xfId="42" applyFont="1"/>
    <xf numFmtId="0" fontId="31" fillId="0" borderId="0" xfId="0" applyFont="1"/>
    <xf numFmtId="1" fontId="0" fillId="0" borderId="11" xfId="0" applyNumberFormat="1" applyBorder="1"/>
    <xf numFmtId="2" fontId="0" fillId="0" borderId="0" xfId="0" applyNumberFormat="1"/>
    <xf numFmtId="0" fontId="0" fillId="36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0" borderId="0" xfId="0" applyFill="1" applyAlignment="1">
      <alignment horizontal="center"/>
    </xf>
    <xf numFmtId="2" fontId="19" fillId="33" borderId="12" xfId="0" applyNumberFormat="1" applyFont="1" applyFill="1" applyBorder="1"/>
    <xf numFmtId="0" fontId="0" fillId="35" borderId="13" xfId="0" applyFill="1" applyBorder="1" applyAlignment="1">
      <alignment horizontal="center"/>
    </xf>
    <xf numFmtId="2" fontId="0" fillId="34" borderId="12" xfId="0" applyNumberFormat="1" applyFill="1" applyBorder="1"/>
    <xf numFmtId="0" fontId="0" fillId="41" borderId="0" xfId="0" applyFill="1" applyAlignment="1">
      <alignment horizontal="center"/>
    </xf>
    <xf numFmtId="0" fontId="0" fillId="39" borderId="0" xfId="0" applyFill="1" applyAlignment="1">
      <alignment horizontal="center"/>
    </xf>
    <xf numFmtId="2" fontId="0" fillId="0" borderId="12" xfId="0" applyNumberFormat="1" applyBorder="1"/>
    <xf numFmtId="0" fontId="0" fillId="42" borderId="0" xfId="0" applyFill="1"/>
    <xf numFmtId="0" fontId="0" fillId="36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5" borderId="0" xfId="0" applyFill="1"/>
    <xf numFmtId="0" fontId="34" fillId="46" borderId="13" xfId="0" applyFont="1" applyFill="1" applyBorder="1"/>
    <xf numFmtId="0" fontId="34" fillId="47" borderId="13" xfId="0" applyFont="1" applyFill="1" applyBorder="1"/>
    <xf numFmtId="0" fontId="34" fillId="48" borderId="13" xfId="0" applyFont="1" applyFill="1" applyBorder="1"/>
    <xf numFmtId="0" fontId="34" fillId="49" borderId="13" xfId="0" applyFont="1" applyFill="1" applyBorder="1"/>
    <xf numFmtId="0" fontId="34" fillId="50" borderId="13" xfId="0" applyFont="1" applyFill="1" applyBorder="1"/>
    <xf numFmtId="0" fontId="30" fillId="37" borderId="13" xfId="0" applyFont="1" applyFill="1" applyBorder="1"/>
    <xf numFmtId="0" fontId="35" fillId="35" borderId="13" xfId="0" applyFont="1" applyFill="1" applyBorder="1"/>
    <xf numFmtId="0" fontId="35" fillId="51" borderId="13" xfId="0" applyFont="1" applyFill="1" applyBorder="1"/>
    <xf numFmtId="0" fontId="35" fillId="42" borderId="13" xfId="0" applyFont="1" applyFill="1" applyBorder="1"/>
    <xf numFmtId="0" fontId="14" fillId="52" borderId="16" xfId="0" applyFont="1" applyFill="1" applyBorder="1"/>
    <xf numFmtId="0" fontId="14" fillId="52" borderId="17" xfId="0" applyFont="1" applyFill="1" applyBorder="1"/>
    <xf numFmtId="0" fontId="14" fillId="52" borderId="18" xfId="0" applyFont="1" applyFill="1" applyBorder="1"/>
    <xf numFmtId="0" fontId="14" fillId="52" borderId="19" xfId="0" applyFont="1" applyFill="1" applyBorder="1"/>
    <xf numFmtId="0" fontId="14" fillId="52" borderId="0" xfId="0" applyFont="1" applyFill="1"/>
    <xf numFmtId="0" fontId="14" fillId="52" borderId="20" xfId="0" applyFont="1" applyFill="1" applyBorder="1"/>
    <xf numFmtId="164" fontId="14" fillId="52" borderId="0" xfId="0" applyNumberFormat="1" applyFont="1" applyFill="1"/>
    <xf numFmtId="0" fontId="14" fillId="52" borderId="21" xfId="0" applyFont="1" applyFill="1" applyBorder="1"/>
    <xf numFmtId="0" fontId="14" fillId="52" borderId="15" xfId="0" applyFont="1" applyFill="1" applyBorder="1"/>
    <xf numFmtId="0" fontId="14" fillId="52" borderId="22" xfId="0" applyFont="1" applyFill="1" applyBorder="1"/>
    <xf numFmtId="10" fontId="35" fillId="0" borderId="13" xfId="0" applyNumberFormat="1" applyFont="1" applyBorder="1"/>
    <xf numFmtId="10" fontId="0" fillId="36" borderId="0" xfId="0" applyNumberFormat="1" applyFill="1"/>
    <xf numFmtId="10" fontId="0" fillId="39" borderId="0" xfId="0" applyNumberFormat="1" applyFill="1"/>
    <xf numFmtId="10" fontId="0" fillId="40" borderId="0" xfId="0" applyNumberFormat="1" applyFill="1"/>
    <xf numFmtId="10" fontId="0" fillId="41" borderId="0" xfId="0" applyNumberFormat="1" applyFill="1"/>
    <xf numFmtId="10" fontId="0" fillId="42" borderId="0" xfId="0" applyNumberFormat="1" applyFill="1"/>
    <xf numFmtId="10" fontId="0" fillId="45" borderId="0" xfId="0" applyNumberFormat="1" applyFill="1"/>
    <xf numFmtId="0" fontId="30" fillId="37" borderId="13" xfId="0" applyFont="1" applyFill="1" applyBorder="1" applyAlignment="1">
      <alignment horizontal="center"/>
    </xf>
    <xf numFmtId="0" fontId="34" fillId="47" borderId="13" xfId="0" applyFont="1" applyFill="1" applyBorder="1" applyAlignment="1">
      <alignment horizontal="center"/>
    </xf>
    <xf numFmtId="0" fontId="34" fillId="48" borderId="13" xfId="0" applyFont="1" applyFill="1" applyBorder="1" applyAlignment="1">
      <alignment horizontal="center"/>
    </xf>
    <xf numFmtId="0" fontId="34" fillId="49" borderId="13" xfId="0" applyFont="1" applyFill="1" applyBorder="1" applyAlignment="1">
      <alignment horizontal="center"/>
    </xf>
    <xf numFmtId="0" fontId="0" fillId="52" borderId="0" xfId="0" applyFill="1" applyAlignment="1">
      <alignment horizontal="center"/>
    </xf>
    <xf numFmtId="0" fontId="34" fillId="46" borderId="13" xfId="0" applyFont="1" applyFill="1" applyBorder="1" applyAlignment="1">
      <alignment horizontal="center"/>
    </xf>
    <xf numFmtId="0" fontId="34" fillId="50" borderId="13" xfId="0" applyFont="1" applyFill="1" applyBorder="1" applyAlignment="1">
      <alignment horizontal="center"/>
    </xf>
    <xf numFmtId="2" fontId="35" fillId="38" borderId="13" xfId="0" applyNumberFormat="1" applyFont="1" applyFill="1" applyBorder="1"/>
    <xf numFmtId="0" fontId="34" fillId="53" borderId="13" xfId="0" applyFont="1" applyFill="1" applyBorder="1"/>
    <xf numFmtId="10" fontId="0" fillId="54" borderId="0" xfId="0" applyNumberFormat="1" applyFill="1"/>
    <xf numFmtId="0" fontId="0" fillId="54" borderId="0" xfId="0" applyFill="1"/>
    <xf numFmtId="0" fontId="0" fillId="55" borderId="0" xfId="0" applyFill="1" applyAlignment="1">
      <alignment horizontal="center"/>
    </xf>
    <xf numFmtId="10" fontId="0" fillId="0" borderId="0" xfId="0" applyNumberFormat="1"/>
    <xf numFmtId="9" fontId="0" fillId="0" borderId="0" xfId="79" applyFont="1"/>
    <xf numFmtId="0" fontId="35" fillId="40" borderId="0" xfId="0" applyFont="1" applyFill="1" applyAlignment="1">
      <alignment horizontal="center"/>
    </xf>
    <xf numFmtId="0" fontId="0" fillId="56" borderId="0" xfId="0" applyFill="1"/>
    <xf numFmtId="10" fontId="36" fillId="0" borderId="0" xfId="0" applyNumberFormat="1" applyFont="1"/>
    <xf numFmtId="0" fontId="0" fillId="51" borderId="0" xfId="0" applyFill="1"/>
    <xf numFmtId="2" fontId="35" fillId="0" borderId="0" xfId="0" applyNumberFormat="1" applyFont="1"/>
    <xf numFmtId="2" fontId="35" fillId="43" borderId="0" xfId="0" applyNumberFormat="1" applyFont="1" applyFill="1"/>
    <xf numFmtId="10" fontId="0" fillId="43" borderId="0" xfId="0" applyNumberFormat="1" applyFill="1"/>
    <xf numFmtId="0" fontId="0" fillId="43" borderId="0" xfId="0" applyFill="1"/>
    <xf numFmtId="0" fontId="33" fillId="43" borderId="14" xfId="0" applyFont="1" applyFill="1" applyBorder="1" applyAlignment="1">
      <alignment horizontal="center"/>
    </xf>
    <xf numFmtId="0" fontId="0" fillId="40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35" fillId="44" borderId="23" xfId="0" applyFont="1" applyFill="1" applyBorder="1" applyAlignment="1">
      <alignment horizontal="center"/>
    </xf>
    <xf numFmtId="0" fontId="35" fillId="44" borderId="25" xfId="0" applyFont="1" applyFill="1" applyBorder="1" applyAlignment="1">
      <alignment horizontal="center"/>
    </xf>
    <xf numFmtId="0" fontId="35" fillId="44" borderId="24" xfId="0" applyFont="1" applyFill="1" applyBorder="1" applyAlignment="1">
      <alignment horizontal="center"/>
    </xf>
  </cellXfs>
  <cellStyles count="80">
    <cellStyle name="20 % - Accent1" xfId="19" builtinId="30" customBuiltin="1"/>
    <cellStyle name="20 % - Accent1 2" xfId="56" xr:uid="{11600004-A527-407E-8D53-56343F90BDFD}"/>
    <cellStyle name="20 % - Accent2" xfId="23" builtinId="34" customBuiltin="1"/>
    <cellStyle name="20 % - Accent2 2" xfId="60" xr:uid="{DFDDADC3-BCD3-48E5-9AB4-5D9A5C19AED9}"/>
    <cellStyle name="20 % - Accent3" xfId="27" builtinId="38" customBuiltin="1"/>
    <cellStyle name="20 % - Accent3 2" xfId="64" xr:uid="{2A70DC9E-883D-43F0-B12F-267C3C199608}"/>
    <cellStyle name="20 % - Accent4" xfId="31" builtinId="42" customBuiltin="1"/>
    <cellStyle name="20 % - Accent4 2" xfId="68" xr:uid="{3AFDF36B-940F-4540-AB92-E044F35B4C77}"/>
    <cellStyle name="20 % - Accent5" xfId="35" builtinId="46" customBuiltin="1"/>
    <cellStyle name="20 % - Accent5 2" xfId="72" xr:uid="{E5CCB58C-CB0F-4ED0-A1F1-7221839C51A3}"/>
    <cellStyle name="20 % - Accent6" xfId="39" builtinId="50" customBuiltin="1"/>
    <cellStyle name="20 % - Accent6 2" xfId="76" xr:uid="{D6A3117B-DB13-4641-B987-5F0943683429}"/>
    <cellStyle name="40 % - Accent1" xfId="20" builtinId="31" customBuiltin="1"/>
    <cellStyle name="40 % - Accent1 2" xfId="57" xr:uid="{3DFDDEC9-FE7F-4FB4-ABEF-65848942B007}"/>
    <cellStyle name="40 % - Accent2" xfId="24" builtinId="35" customBuiltin="1"/>
    <cellStyle name="40 % - Accent2 2" xfId="61" xr:uid="{30BFA091-8AFE-47F1-8FDA-9080B4658AAA}"/>
    <cellStyle name="40 % - Accent3" xfId="28" builtinId="39" customBuiltin="1"/>
    <cellStyle name="40 % - Accent3 2" xfId="65" xr:uid="{3C7E18FC-FCD8-4F15-ACCD-DC3138626211}"/>
    <cellStyle name="40 % - Accent4" xfId="32" builtinId="43" customBuiltin="1"/>
    <cellStyle name="40 % - Accent4 2" xfId="69" xr:uid="{E5D13A40-9361-429B-9576-EDD1CA58C052}"/>
    <cellStyle name="40 % - Accent5" xfId="36" builtinId="47" customBuiltin="1"/>
    <cellStyle name="40 % - Accent5 2" xfId="73" xr:uid="{D72D83DE-B713-4CB8-A623-DC82F35615E0}"/>
    <cellStyle name="40 % - Accent6" xfId="40" builtinId="51" customBuiltin="1"/>
    <cellStyle name="40 % - Accent6 2" xfId="77" xr:uid="{B81CCCE3-2604-4AEE-B5DB-DECEAF2FF67C}"/>
    <cellStyle name="60 % - Accent1" xfId="21" builtinId="32" customBuiltin="1"/>
    <cellStyle name="60 % - Accent1 2" xfId="58" xr:uid="{898EF0F8-4A4A-4B3D-B8F8-C809BA84E3B6}"/>
    <cellStyle name="60 % - Accent2" xfId="25" builtinId="36" customBuiltin="1"/>
    <cellStyle name="60 % - Accent2 2" xfId="62" xr:uid="{42BBC341-37AF-427C-AB2D-3C16F1606490}"/>
    <cellStyle name="60 % - Accent3" xfId="29" builtinId="40" customBuiltin="1"/>
    <cellStyle name="60 % - Accent3 2" xfId="66" xr:uid="{8FBDB029-09D5-4B7D-AA82-7D9DF8AFB28D}"/>
    <cellStyle name="60 % - Accent4" xfId="33" builtinId="44" customBuiltin="1"/>
    <cellStyle name="60 % - Accent4 2" xfId="70" xr:uid="{3434F6F4-D73A-4FF5-8516-C6168C46EA37}"/>
    <cellStyle name="60 % - Accent5" xfId="37" builtinId="48" customBuiltin="1"/>
    <cellStyle name="60 % - Accent5 2" xfId="74" xr:uid="{272ACED4-E37D-4B46-ACA2-80FFFAEBD43E}"/>
    <cellStyle name="60 % - Accent6" xfId="41" builtinId="52" customBuiltin="1"/>
    <cellStyle name="60 % - Accent6 2" xfId="78" xr:uid="{A05AD046-F820-43BE-8DED-66C6FBE556C0}"/>
    <cellStyle name="Accent1" xfId="18" builtinId="29" customBuiltin="1"/>
    <cellStyle name="Accent1 2" xfId="55" xr:uid="{F4E37496-AC79-4CD8-BABD-6CA84B5A899C}"/>
    <cellStyle name="Accent2" xfId="22" builtinId="33" customBuiltin="1"/>
    <cellStyle name="Accent2 2" xfId="59" xr:uid="{06830B5A-32C2-465B-B97D-0706A9B51755}"/>
    <cellStyle name="Accent3" xfId="26" builtinId="37" customBuiltin="1"/>
    <cellStyle name="Accent3 2" xfId="63" xr:uid="{B323ACA4-2478-4E81-B2CB-43B365943E7F}"/>
    <cellStyle name="Accent4" xfId="30" builtinId="41" customBuiltin="1"/>
    <cellStyle name="Accent4 2" xfId="67" xr:uid="{98009023-D616-442C-A023-065257C339A3}"/>
    <cellStyle name="Accent5" xfId="34" builtinId="45" customBuiltin="1"/>
    <cellStyle name="Accent5 2" xfId="71" xr:uid="{6A69EE9F-B29D-494D-A7AA-85D2592F3428}"/>
    <cellStyle name="Accent6" xfId="38" builtinId="49" customBuiltin="1"/>
    <cellStyle name="Accent6 2" xfId="75" xr:uid="{DD27324F-6697-4836-958B-640B7A75F186}"/>
    <cellStyle name="Avertissement" xfId="14" builtinId="11" customBuiltin="1"/>
    <cellStyle name="Avertissement 2" xfId="51" xr:uid="{383671D4-6D71-4521-858D-D94A3CBE59C1}"/>
    <cellStyle name="Calcul" xfId="11" builtinId="22" customBuiltin="1"/>
    <cellStyle name="Calcul 2" xfId="48" xr:uid="{18A11897-190A-483D-AF8A-4BDDA1E344C7}"/>
    <cellStyle name="Cellule liée" xfId="12" builtinId="24" customBuiltin="1"/>
    <cellStyle name="Cellule liée 2" xfId="49" xr:uid="{1497FFB7-180B-456A-83EE-078A25C3B6DC}"/>
    <cellStyle name="Entrée" xfId="9" builtinId="20" customBuiltin="1"/>
    <cellStyle name="Entrée 2" xfId="46" xr:uid="{CEE08009-57D8-4755-8FC0-7FFAB0B82DED}"/>
    <cellStyle name="Insatisfaisant" xfId="7" builtinId="27" customBuiltin="1"/>
    <cellStyle name="Insatisfaisant 2" xfId="44" xr:uid="{86D8217E-1AB8-4DD9-96D5-C41259B34659}"/>
    <cellStyle name="Neutre" xfId="8" builtinId="28" customBuiltin="1"/>
    <cellStyle name="Neutre 2" xfId="45" xr:uid="{4DA290E0-CAEE-47D5-A37E-76E81B0991A4}"/>
    <cellStyle name="Normal" xfId="0" builtinId="0"/>
    <cellStyle name="Normal 2" xfId="42" xr:uid="{6D4C26A9-4638-4E45-A55F-3D2639C542DA}"/>
    <cellStyle name="Note" xfId="15" builtinId="10" customBuiltin="1"/>
    <cellStyle name="Note 2" xfId="52" xr:uid="{B00479B1-EDFA-4647-98A3-335CCF065D64}"/>
    <cellStyle name="Pourcentage" xfId="79" builtinId="5"/>
    <cellStyle name="Satisfaisant" xfId="6" builtinId="26" customBuiltin="1"/>
    <cellStyle name="Satisfaisant 2" xfId="43" xr:uid="{993091FF-6443-4903-A53B-4D326B2590FF}"/>
    <cellStyle name="Sortie" xfId="10" builtinId="21" customBuiltin="1"/>
    <cellStyle name="Sortie 2" xfId="47" xr:uid="{8A73923B-296C-4387-8DC1-E6AFFBC5C0C8}"/>
    <cellStyle name="Texte explicatif" xfId="16" builtinId="53" customBuiltin="1"/>
    <cellStyle name="Texte explicatif 2" xfId="53" xr:uid="{FD4CC59A-EE28-4092-B37B-91F7847834D0}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Total 2" xfId="54" xr:uid="{40DC4354-3E25-4C77-AAB1-5EF889136E21}"/>
    <cellStyle name="Vérification" xfId="13" builtinId="23" customBuiltin="1"/>
    <cellStyle name="Vérification 2" xfId="50" xr:uid="{B4DE7391-0D35-48A7-8281-8053A90FF833}"/>
  </cellStyles>
  <dxfs count="4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none">
          <fgColor indexed="64"/>
          <bgColor indexed="65"/>
        </patternFill>
      </fill>
      <border diagonalUp="0" diagonalDown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Évolution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Portefeuille</c:v>
          </c:tx>
          <c:marker>
            <c:symbol val="none"/>
          </c:marker>
          <c:cat>
            <c:numRef>
              <c:f>'Input Data'!$A$2:$A$23</c:f>
              <c:numCache>
                <c:formatCode>m/d/yyyy</c:formatCode>
                <c:ptCount val="22"/>
                <c:pt idx="0">
                  <c:v>45267</c:v>
                </c:pt>
                <c:pt idx="1">
                  <c:v>45266</c:v>
                </c:pt>
                <c:pt idx="2">
                  <c:v>45265</c:v>
                </c:pt>
                <c:pt idx="3">
                  <c:v>45264</c:v>
                </c:pt>
                <c:pt idx="4">
                  <c:v>45261</c:v>
                </c:pt>
                <c:pt idx="5">
                  <c:v>45260</c:v>
                </c:pt>
                <c:pt idx="6">
                  <c:v>45259</c:v>
                </c:pt>
                <c:pt idx="7">
                  <c:v>45258</c:v>
                </c:pt>
                <c:pt idx="8">
                  <c:v>45257</c:v>
                </c:pt>
                <c:pt idx="9">
                  <c:v>45254</c:v>
                </c:pt>
                <c:pt idx="10">
                  <c:v>45253</c:v>
                </c:pt>
                <c:pt idx="11">
                  <c:v>45252</c:v>
                </c:pt>
                <c:pt idx="12">
                  <c:v>45251</c:v>
                </c:pt>
                <c:pt idx="13">
                  <c:v>45250</c:v>
                </c:pt>
                <c:pt idx="14">
                  <c:v>45247</c:v>
                </c:pt>
                <c:pt idx="15">
                  <c:v>45246</c:v>
                </c:pt>
                <c:pt idx="16">
                  <c:v>45245</c:v>
                </c:pt>
                <c:pt idx="17">
                  <c:v>45244</c:v>
                </c:pt>
                <c:pt idx="18">
                  <c:v>45243</c:v>
                </c:pt>
                <c:pt idx="19">
                  <c:v>45240</c:v>
                </c:pt>
                <c:pt idx="20">
                  <c:v>45239</c:v>
                </c:pt>
                <c:pt idx="21">
                  <c:v>45238</c:v>
                </c:pt>
              </c:numCache>
            </c:numRef>
          </c:cat>
          <c:val>
            <c:numLit>
              <c:formatCode>General</c:formatCode>
              <c:ptCount val="21"/>
              <c:pt idx="0">
                <c:v>0.16689952616201206</c:v>
              </c:pt>
              <c:pt idx="1">
                <c:v>0.55571028898150399</c:v>
              </c:pt>
              <c:pt idx="2">
                <c:v>0.42277880712498078</c:v>
              </c:pt>
              <c:pt idx="3">
                <c:v>-0.19122992409954259</c:v>
              </c:pt>
              <c:pt idx="4">
                <c:v>-0.25777084024379748</c:v>
              </c:pt>
              <c:pt idx="5">
                <c:v>1.4522332595193415</c:v>
              </c:pt>
              <c:pt idx="6">
                <c:v>0.63606126375829153</c:v>
              </c:pt>
              <c:pt idx="7">
                <c:v>-0.57692637497003052</c:v>
              </c:pt>
              <c:pt idx="8">
                <c:v>-2.9889668419508797E-2</c:v>
              </c:pt>
              <c:pt idx="9">
                <c:v>2.9278176148132856E-2</c:v>
              </c:pt>
              <c:pt idx="10">
                <c:v>0.37128301252964341</c:v>
              </c:pt>
              <c:pt idx="11">
                <c:v>0.57489952053930904</c:v>
              </c:pt>
              <c:pt idx="12">
                <c:v>-0.69369436278327024</c:v>
              </c:pt>
              <c:pt idx="13">
                <c:v>0.44347600799618442</c:v>
              </c:pt>
              <c:pt idx="14">
                <c:v>0.36361253378007857</c:v>
              </c:pt>
              <c:pt idx="15">
                <c:v>-0.26601030586905083</c:v>
              </c:pt>
              <c:pt idx="16">
                <c:v>0.78164645573385494</c:v>
              </c:pt>
              <c:pt idx="17">
                <c:v>1.8846736731143126</c:v>
              </c:pt>
              <c:pt idx="18">
                <c:v>-0.42306618645840716</c:v>
              </c:pt>
              <c:pt idx="19">
                <c:v>-0.24038171936214761</c:v>
              </c:pt>
              <c:pt idx="20">
                <c:v>1.224789776022885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714-426C-8BC8-DD4BFBB9C612}"/>
            </c:ext>
          </c:extLst>
        </c:ser>
        <c:ser>
          <c:idx val="1"/>
          <c:order val="1"/>
          <c:tx>
            <c:v>CAP06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'Input Data'!$A$2:$A$23</c:f>
              <c:numCache>
                <c:formatCode>m/d/yyyy</c:formatCode>
                <c:ptCount val="22"/>
                <c:pt idx="0">
                  <c:v>45267</c:v>
                </c:pt>
                <c:pt idx="1">
                  <c:v>45266</c:v>
                </c:pt>
                <c:pt idx="2">
                  <c:v>45265</c:v>
                </c:pt>
                <c:pt idx="3">
                  <c:v>45264</c:v>
                </c:pt>
                <c:pt idx="4">
                  <c:v>45261</c:v>
                </c:pt>
                <c:pt idx="5">
                  <c:v>45260</c:v>
                </c:pt>
                <c:pt idx="6">
                  <c:v>45259</c:v>
                </c:pt>
                <c:pt idx="7">
                  <c:v>45258</c:v>
                </c:pt>
                <c:pt idx="8">
                  <c:v>45257</c:v>
                </c:pt>
                <c:pt idx="9">
                  <c:v>45254</c:v>
                </c:pt>
                <c:pt idx="10">
                  <c:v>45253</c:v>
                </c:pt>
                <c:pt idx="11">
                  <c:v>45252</c:v>
                </c:pt>
                <c:pt idx="12">
                  <c:v>45251</c:v>
                </c:pt>
                <c:pt idx="13">
                  <c:v>45250</c:v>
                </c:pt>
                <c:pt idx="14">
                  <c:v>45247</c:v>
                </c:pt>
                <c:pt idx="15">
                  <c:v>45246</c:v>
                </c:pt>
                <c:pt idx="16">
                  <c:v>45245</c:v>
                </c:pt>
                <c:pt idx="17">
                  <c:v>45244</c:v>
                </c:pt>
                <c:pt idx="18">
                  <c:v>45243</c:v>
                </c:pt>
                <c:pt idx="19">
                  <c:v>45240</c:v>
                </c:pt>
                <c:pt idx="20">
                  <c:v>45239</c:v>
                </c:pt>
                <c:pt idx="21">
                  <c:v>45238</c:v>
                </c:pt>
              </c:numCache>
            </c:numRef>
          </c:cat>
          <c:val>
            <c:numLit>
              <c:formatCode>General</c:formatCode>
              <c:ptCount val="21"/>
              <c:pt idx="0">
                <c:v>1.0673102435499766</c:v>
              </c:pt>
              <c:pt idx="1">
                <c:v>-0.19265193100469669</c:v>
              </c:pt>
              <c:pt idx="2">
                <c:v>-0.36195197560164127</c:v>
              </c:pt>
              <c:pt idx="3">
                <c:v>6.5913973595692524E-2</c:v>
              </c:pt>
              <c:pt idx="4">
                <c:v>1.5934134053989955</c:v>
              </c:pt>
              <c:pt idx="5">
                <c:v>1.5126544750088653E-2</c:v>
              </c:pt>
              <c:pt idx="6">
                <c:v>0.20853259159961174</c:v>
              </c:pt>
              <c:pt idx="7">
                <c:v>0.4772272425352756</c:v>
              </c:pt>
              <c:pt idx="8">
                <c:v>-9.7673130452388401E-2</c:v>
              </c:pt>
              <c:pt idx="9">
                <c:v>0.18098699379221012</c:v>
              </c:pt>
              <c:pt idx="10">
                <c:v>0.61606044294053719</c:v>
              </c:pt>
              <c:pt idx="11">
                <c:v>-2.3689993779481236E-2</c:v>
              </c:pt>
              <c:pt idx="12">
                <c:v>-0.20356075251474506</c:v>
              </c:pt>
              <c:pt idx="13">
                <c:v>-1.6853958345314612</c:v>
              </c:pt>
              <c:pt idx="14">
                <c:v>0.1776067758314781</c:v>
              </c:pt>
              <c:pt idx="15">
                <c:v>0.66814037893417333</c:v>
              </c:pt>
              <c:pt idx="16">
                <c:v>-0.32905391962778235</c:v>
              </c:pt>
              <c:pt idx="17">
                <c:v>0.24907299616884382</c:v>
              </c:pt>
              <c:pt idx="18">
                <c:v>0.71219935163790216</c:v>
              </c:pt>
              <c:pt idx="19">
                <c:v>0.89720762397302312</c:v>
              </c:pt>
              <c:pt idx="20">
                <c:v>0.30809192711087036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714-426C-8BC8-DD4BFBB9C612}"/>
            </c:ext>
          </c:extLst>
        </c:ser>
        <c:ser>
          <c:idx val="2"/>
          <c:order val="2"/>
          <c:tx>
            <c:v>CAC40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'Input Data'!$A$2:$A$23</c:f>
              <c:numCache>
                <c:formatCode>m/d/yyyy</c:formatCode>
                <c:ptCount val="22"/>
                <c:pt idx="0">
                  <c:v>45267</c:v>
                </c:pt>
                <c:pt idx="1">
                  <c:v>45266</c:v>
                </c:pt>
                <c:pt idx="2">
                  <c:v>45265</c:v>
                </c:pt>
                <c:pt idx="3">
                  <c:v>45264</c:v>
                </c:pt>
                <c:pt idx="4">
                  <c:v>45261</c:v>
                </c:pt>
                <c:pt idx="5">
                  <c:v>45260</c:v>
                </c:pt>
                <c:pt idx="6">
                  <c:v>45259</c:v>
                </c:pt>
                <c:pt idx="7">
                  <c:v>45258</c:v>
                </c:pt>
                <c:pt idx="8">
                  <c:v>45257</c:v>
                </c:pt>
                <c:pt idx="9">
                  <c:v>45254</c:v>
                </c:pt>
                <c:pt idx="10">
                  <c:v>45253</c:v>
                </c:pt>
                <c:pt idx="11">
                  <c:v>45252</c:v>
                </c:pt>
                <c:pt idx="12">
                  <c:v>45251</c:v>
                </c:pt>
                <c:pt idx="13">
                  <c:v>45250</c:v>
                </c:pt>
                <c:pt idx="14">
                  <c:v>45247</c:v>
                </c:pt>
                <c:pt idx="15">
                  <c:v>45246</c:v>
                </c:pt>
                <c:pt idx="16">
                  <c:v>45245</c:v>
                </c:pt>
                <c:pt idx="17">
                  <c:v>45244</c:v>
                </c:pt>
                <c:pt idx="18">
                  <c:v>45243</c:v>
                </c:pt>
                <c:pt idx="19">
                  <c:v>45240</c:v>
                </c:pt>
                <c:pt idx="20">
                  <c:v>45239</c:v>
                </c:pt>
                <c:pt idx="21">
                  <c:v>45238</c:v>
                </c:pt>
              </c:numCache>
            </c:numRef>
          </c:cat>
          <c:val>
            <c:numLit>
              <c:formatCode>General</c:formatCode>
              <c:ptCount val="21"/>
              <c:pt idx="0">
                <c:v>1.1301989150090417</c:v>
              </c:pt>
              <c:pt idx="1">
                <c:v>-0.96462299294596443</c:v>
              </c:pt>
              <c:pt idx="2">
                <c:v>0.59644799745637267</c:v>
              </c:pt>
              <c:pt idx="3">
                <c:v>1.3915502338064005</c:v>
              </c:pt>
              <c:pt idx="4">
                <c:v>0.33302345776599263</c:v>
              </c:pt>
              <c:pt idx="5">
                <c:v>-0.57159818630966219</c:v>
              </c:pt>
              <c:pt idx="6">
                <c:v>0.91387199375035189</c:v>
              </c:pt>
              <c:pt idx="7">
                <c:v>0.17998565091355073</c:v>
              </c:pt>
              <c:pt idx="8">
                <c:v>-0.24120558636554337</c:v>
              </c:pt>
              <c:pt idx="9">
                <c:v>0.43267468479621202</c:v>
              </c:pt>
              <c:pt idx="10">
                <c:v>0.23689078095454216</c:v>
              </c:pt>
              <c:pt idx="11">
                <c:v>0.20431633720027381</c:v>
              </c:pt>
              <c:pt idx="12">
                <c:v>-0.37447893813076455</c:v>
              </c:pt>
              <c:pt idx="13">
                <c:v>-0.21141037975414834</c:v>
              </c:pt>
              <c:pt idx="14">
                <c:v>0.24151291080298171</c:v>
              </c:pt>
              <c:pt idx="15">
                <c:v>0.59345262010776678</c:v>
              </c:pt>
              <c:pt idx="16">
                <c:v>0.48394355177360526</c:v>
              </c:pt>
              <c:pt idx="17">
                <c:v>-0.18458648407668629</c:v>
              </c:pt>
              <c:pt idx="18">
                <c:v>0.74189338282925454</c:v>
              </c:pt>
              <c:pt idx="19">
                <c:v>0.66332836513925153</c:v>
              </c:pt>
              <c:pt idx="20">
                <c:v>-0.10045737016859013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714-426C-8BC8-DD4BFBB9C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093024"/>
        <c:axId val="625096264"/>
      </c:lineChart>
      <c:dateAx>
        <c:axId val="625093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25096264"/>
        <c:crosses val="autoZero"/>
        <c:auto val="1"/>
        <c:lblOffset val="100"/>
        <c:baseTimeUnit val="days"/>
      </c:dateAx>
      <c:valAx>
        <c:axId val="625096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Evolution en 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50930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</xdr:row>
          <xdr:rowOff>180975</xdr:rowOff>
        </xdr:from>
        <xdr:to>
          <xdr:col>3</xdr:col>
          <xdr:colOff>0</xdr:colOff>
          <xdr:row>19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19</xdr:row>
          <xdr:rowOff>142875</xdr:rowOff>
        </xdr:from>
        <xdr:to>
          <xdr:col>4</xdr:col>
          <xdr:colOff>171450</xdr:colOff>
          <xdr:row>22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Recommandation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1</xdr:row>
      <xdr:rowOff>0</xdr:rowOff>
    </xdr:from>
    <xdr:to>
      <xdr:col>13</xdr:col>
      <xdr:colOff>647700</xdr:colOff>
      <xdr:row>14</xdr:row>
      <xdr:rowOff>85725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92C28E9F-52A1-D3E7-8B94-B6E7650FE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3E4770-1413-4870-8EE8-2A9DDC5782E0}" name="Tableau5" displayName="Tableau5" ref="A1:G23" totalsRowShown="0" headerRowDxfId="3">
  <autoFilter ref="A1:G23" xr:uid="{613E4770-1413-4870-8EE8-2A9DDC5782E0}"/>
  <sortState xmlns:xlrd2="http://schemas.microsoft.com/office/spreadsheetml/2017/richdata2" ref="A2:G23">
    <sortCondition descending="1" ref="A1:A23"/>
  </sortState>
  <tableColumns count="7">
    <tableColumn id="1" xr3:uid="{F97F3DF4-4D4F-459A-8D50-3BF1A8781599}" name="Date" dataDxfId="2"/>
    <tableColumn id="2" xr3:uid="{978D3CB7-9CE6-4D32-A3A9-F9E8DAF64C2E}" name="LVMH" dataDxfId="1"/>
    <tableColumn id="3" xr3:uid="{F2AEC504-2B6B-4F93-829F-AC8C8D86C137}" name="Air Liquide"/>
    <tableColumn id="4" xr3:uid="{8553793C-094F-4893-9051-06938505E2D1}" name="Eiffage"/>
    <tableColumn id="5" xr3:uid="{F8ADC4A9-DD12-4093-9F90-90DD0327FE9D}" name="Danone"/>
    <tableColumn id="6" xr3:uid="{D9E027B7-BE47-4BCC-AA46-D18C3D2C97F1}" name="Mercialys"/>
    <tableColumn id="7" xr3:uid="{764DE5F5-C7C9-4D47-849B-05F30A1C02C8}" name="Voltal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8DC6-0D99-47B5-8E57-3EF778FBFAEA}">
  <sheetPr codeName="Feuil1"/>
  <dimension ref="A1:H27"/>
  <sheetViews>
    <sheetView workbookViewId="0">
      <selection activeCell="C53" sqref="C53"/>
    </sheetView>
  </sheetViews>
  <sheetFormatPr baseColWidth="10" defaultRowHeight="15" x14ac:dyDescent="0.25"/>
  <cols>
    <col min="1" max="1" width="16.5703125" style="1" customWidth="1"/>
    <col min="2" max="2" width="16.5703125" customWidth="1"/>
    <col min="3" max="3" width="16" customWidth="1"/>
    <col min="6" max="6" width="11.7109375" customWidth="1"/>
    <col min="8" max="8" width="11.42578125" style="9"/>
    <col min="10" max="10" width="12" bestFit="1" customWidth="1"/>
  </cols>
  <sheetData>
    <row r="1" spans="1:8" ht="15.75" x14ac:dyDescent="0.25">
      <c r="A1" s="5" t="s">
        <v>0</v>
      </c>
      <c r="B1" s="4" t="s">
        <v>1</v>
      </c>
      <c r="C1" s="4" t="s">
        <v>5</v>
      </c>
      <c r="D1" s="4" t="s">
        <v>3</v>
      </c>
      <c r="E1" s="4" t="s">
        <v>2</v>
      </c>
      <c r="F1" s="4" t="s">
        <v>6</v>
      </c>
      <c r="G1" s="4" t="s">
        <v>4</v>
      </c>
      <c r="H1" s="13" t="s">
        <v>10</v>
      </c>
    </row>
    <row r="2" spans="1:8" x14ac:dyDescent="0.25">
      <c r="A2" s="3">
        <v>45267</v>
      </c>
      <c r="B2" s="2">
        <v>714.59997599999997</v>
      </c>
      <c r="C2">
        <v>173.89999399999999</v>
      </c>
      <c r="D2">
        <v>95.760002</v>
      </c>
      <c r="E2">
        <v>59.139999000000003</v>
      </c>
      <c r="F2">
        <v>9.125</v>
      </c>
      <c r="G2" s="6">
        <v>9.09</v>
      </c>
      <c r="H2" s="18">
        <v>7428.52</v>
      </c>
    </row>
    <row r="3" spans="1:8" x14ac:dyDescent="0.25">
      <c r="A3" s="3">
        <v>45266</v>
      </c>
      <c r="B3" s="2">
        <v>712.5</v>
      </c>
      <c r="C3">
        <v>173.46000699999999</v>
      </c>
      <c r="D3">
        <v>95.620002999999997</v>
      </c>
      <c r="E3">
        <v>58.720001000000003</v>
      </c>
      <c r="F3">
        <v>9.1</v>
      </c>
      <c r="G3" s="6">
        <v>9.2100000000000009</v>
      </c>
      <c r="H3" s="15">
        <v>7435.99</v>
      </c>
    </row>
    <row r="4" spans="1:8" x14ac:dyDescent="0.25">
      <c r="A4" s="3">
        <v>45265</v>
      </c>
      <c r="B4" s="2">
        <v>698.70001200000002</v>
      </c>
      <c r="C4">
        <v>174.44000199999999</v>
      </c>
      <c r="D4">
        <v>95.18</v>
      </c>
      <c r="E4">
        <v>58.619999</v>
      </c>
      <c r="F4">
        <v>9.0250000000000004</v>
      </c>
      <c r="G4" s="6">
        <v>9.16</v>
      </c>
      <c r="H4" s="18">
        <v>7386.99</v>
      </c>
    </row>
    <row r="5" spans="1:8" x14ac:dyDescent="0.25">
      <c r="A5" s="3">
        <v>45264</v>
      </c>
      <c r="B5" s="2">
        <v>695.59997599999997</v>
      </c>
      <c r="C5">
        <v>172.279999</v>
      </c>
      <c r="D5">
        <v>93.540001000000004</v>
      </c>
      <c r="E5">
        <v>58.790000999999997</v>
      </c>
      <c r="F5">
        <v>8.9499999999999993</v>
      </c>
      <c r="G5" s="6">
        <v>9.56</v>
      </c>
      <c r="H5" s="15">
        <v>7332.59</v>
      </c>
    </row>
    <row r="6" spans="1:8" x14ac:dyDescent="0.25">
      <c r="A6" s="3">
        <v>45261</v>
      </c>
      <c r="B6" s="2">
        <v>690</v>
      </c>
      <c r="C6">
        <v>173.199997</v>
      </c>
      <c r="D6">
        <v>93.879997000000003</v>
      </c>
      <c r="E6">
        <v>58.59</v>
      </c>
      <c r="F6">
        <v>9.01</v>
      </c>
      <c r="G6" s="6">
        <v>9.65</v>
      </c>
      <c r="H6" s="18">
        <v>7346.15</v>
      </c>
    </row>
    <row r="7" spans="1:8" x14ac:dyDescent="0.25">
      <c r="A7" s="3">
        <v>45260</v>
      </c>
      <c r="B7" s="2">
        <v>693.29998799999998</v>
      </c>
      <c r="C7">
        <v>173.800003</v>
      </c>
      <c r="D7">
        <v>93</v>
      </c>
      <c r="E7">
        <v>58.970001000000003</v>
      </c>
      <c r="F7">
        <v>9.0649999999999995</v>
      </c>
      <c r="G7" s="6">
        <v>9.67</v>
      </c>
      <c r="H7" s="15">
        <v>7310.77</v>
      </c>
    </row>
    <row r="8" spans="1:8" x14ac:dyDescent="0.25">
      <c r="A8" s="3">
        <v>45259</v>
      </c>
      <c r="B8" s="2">
        <v>684.59997599999997</v>
      </c>
      <c r="C8">
        <v>173.759995</v>
      </c>
      <c r="D8">
        <v>92.760002</v>
      </c>
      <c r="E8">
        <v>59.150002000000001</v>
      </c>
      <c r="F8">
        <v>8.6750000000000007</v>
      </c>
      <c r="G8" s="6">
        <v>9.2799999999999994</v>
      </c>
      <c r="H8" s="18">
        <v>7267.64</v>
      </c>
    </row>
    <row r="9" spans="1:8" x14ac:dyDescent="0.25">
      <c r="A9" s="3">
        <v>45258</v>
      </c>
      <c r="B9" s="2">
        <v>683</v>
      </c>
      <c r="C9">
        <v>174.36000100000001</v>
      </c>
      <c r="D9">
        <v>91.379997000000003</v>
      </c>
      <c r="E9">
        <v>59.049999</v>
      </c>
      <c r="F9">
        <v>8.6300000000000008</v>
      </c>
      <c r="G9" s="6">
        <v>8.91</v>
      </c>
      <c r="H9" s="15">
        <v>7250.13</v>
      </c>
    </row>
    <row r="10" spans="1:8" x14ac:dyDescent="0.25">
      <c r="A10" s="3">
        <v>45257</v>
      </c>
      <c r="B10" s="2">
        <v>708.09997599999997</v>
      </c>
      <c r="C10">
        <v>173.779999</v>
      </c>
      <c r="D10">
        <v>91.040001000000004</v>
      </c>
      <c r="E10">
        <v>59.080002</v>
      </c>
      <c r="F10">
        <v>8.5950000000000006</v>
      </c>
      <c r="G10" s="6">
        <v>8.92</v>
      </c>
      <c r="H10" s="18">
        <v>7265.49</v>
      </c>
    </row>
    <row r="11" spans="1:8" x14ac:dyDescent="0.25">
      <c r="A11" s="3">
        <v>45254</v>
      </c>
      <c r="B11" s="2">
        <v>710.70001200000002</v>
      </c>
      <c r="C11">
        <v>173.66000399999999</v>
      </c>
      <c r="D11">
        <v>91.379997000000003</v>
      </c>
      <c r="E11">
        <v>59.119999</v>
      </c>
      <c r="F11">
        <v>8.5549999999999997</v>
      </c>
      <c r="G11" s="6">
        <v>8.91</v>
      </c>
      <c r="H11" s="15">
        <v>7292.8</v>
      </c>
    </row>
    <row r="12" spans="1:8" x14ac:dyDescent="0.25">
      <c r="A12" s="3">
        <v>45253</v>
      </c>
      <c r="B12" s="2">
        <v>714.70001200000002</v>
      </c>
      <c r="C12">
        <v>172.94000199999999</v>
      </c>
      <c r="D12">
        <v>90.660004000000001</v>
      </c>
      <c r="E12">
        <v>58.66</v>
      </c>
      <c r="F12">
        <v>8.5749999999999993</v>
      </c>
      <c r="G12" s="6">
        <v>9.0299999999999994</v>
      </c>
      <c r="H12" s="18">
        <v>7277.93</v>
      </c>
    </row>
    <row r="13" spans="1:8" x14ac:dyDescent="0.25">
      <c r="A13" s="3">
        <v>45252</v>
      </c>
      <c r="B13" s="2">
        <v>706.79998799999998</v>
      </c>
      <c r="C13">
        <v>172.83999600000001</v>
      </c>
      <c r="D13">
        <v>90.599997999999999</v>
      </c>
      <c r="E13">
        <v>58.549999</v>
      </c>
      <c r="F13">
        <v>8.49</v>
      </c>
      <c r="G13" s="6">
        <v>9.1300000000000008</v>
      </c>
      <c r="H13" s="15">
        <v>7260.73</v>
      </c>
    </row>
    <row r="14" spans="1:8" x14ac:dyDescent="0.25">
      <c r="A14" s="3">
        <v>45251</v>
      </c>
      <c r="B14" s="2">
        <v>708.29998799999998</v>
      </c>
      <c r="C14">
        <v>171.58000200000001</v>
      </c>
      <c r="D14">
        <v>90.559997999999993</v>
      </c>
      <c r="E14">
        <v>58.189999</v>
      </c>
      <c r="F14">
        <v>8.3350000000000009</v>
      </c>
      <c r="G14" s="6">
        <v>9.1</v>
      </c>
      <c r="H14" s="18">
        <v>7229.45</v>
      </c>
    </row>
    <row r="15" spans="1:8" x14ac:dyDescent="0.25">
      <c r="A15" s="3">
        <v>45250</v>
      </c>
      <c r="B15" s="2">
        <v>712.79998799999998</v>
      </c>
      <c r="C15">
        <v>170.46000699999999</v>
      </c>
      <c r="D15">
        <v>91.339995999999999</v>
      </c>
      <c r="E15">
        <v>57.43</v>
      </c>
      <c r="F15">
        <v>8.6050000000000004</v>
      </c>
      <c r="G15" s="6">
        <v>9.3000000000000007</v>
      </c>
      <c r="H15" s="15">
        <v>7246.93</v>
      </c>
    </row>
    <row r="16" spans="1:8" x14ac:dyDescent="0.25">
      <c r="A16" s="3">
        <v>45247</v>
      </c>
      <c r="B16" s="2">
        <v>707.29998799999998</v>
      </c>
      <c r="C16">
        <v>170.259995</v>
      </c>
      <c r="D16">
        <v>90.739998</v>
      </c>
      <c r="E16">
        <v>57.540000999999997</v>
      </c>
      <c r="F16">
        <v>8.57</v>
      </c>
      <c r="G16" s="6">
        <v>9.1999999999999993</v>
      </c>
      <c r="H16" s="18">
        <v>7233.91</v>
      </c>
    </row>
    <row r="17" spans="1:8" x14ac:dyDescent="0.25">
      <c r="A17" s="3">
        <v>45246</v>
      </c>
      <c r="B17" s="2">
        <v>712.29998799999998</v>
      </c>
      <c r="C17">
        <v>168.89999399999999</v>
      </c>
      <c r="D17">
        <v>87.32</v>
      </c>
      <c r="E17">
        <v>57.400002000000001</v>
      </c>
      <c r="F17">
        <v>8.3650000000000002</v>
      </c>
      <c r="G17" s="6">
        <v>9.91</v>
      </c>
      <c r="H17" s="15">
        <v>7168.4</v>
      </c>
    </row>
    <row r="18" spans="1:8" x14ac:dyDescent="0.25">
      <c r="A18" s="3">
        <v>45245</v>
      </c>
      <c r="B18" s="2">
        <v>713</v>
      </c>
      <c r="C18">
        <v>168.020004</v>
      </c>
      <c r="D18">
        <v>87.879997000000003</v>
      </c>
      <c r="E18">
        <v>57.529998999999997</v>
      </c>
      <c r="F18">
        <v>8.4350000000000005</v>
      </c>
      <c r="G18" s="6">
        <v>10.039999999999999</v>
      </c>
      <c r="H18" s="18">
        <v>7209.61</v>
      </c>
    </row>
    <row r="19" spans="1:8" x14ac:dyDescent="0.25">
      <c r="A19" s="3">
        <v>45244</v>
      </c>
      <c r="B19" s="2">
        <v>688.5</v>
      </c>
      <c r="C19">
        <v>169</v>
      </c>
      <c r="D19">
        <v>87.419998000000007</v>
      </c>
      <c r="E19">
        <v>58.119999</v>
      </c>
      <c r="F19">
        <v>8.5350000000000001</v>
      </c>
      <c r="G19" s="6">
        <v>9.61</v>
      </c>
      <c r="H19" s="15">
        <v>7185.68</v>
      </c>
    </row>
    <row r="20" spans="1:8" x14ac:dyDescent="0.25">
      <c r="A20" s="3">
        <v>45243</v>
      </c>
      <c r="B20" s="2">
        <v>693</v>
      </c>
      <c r="C20">
        <v>167.66000399999999</v>
      </c>
      <c r="D20">
        <v>86.32</v>
      </c>
      <c r="E20">
        <v>58.029998999999997</v>
      </c>
      <c r="F20">
        <v>8.125</v>
      </c>
      <c r="G20" s="6">
        <v>8.85</v>
      </c>
      <c r="H20" s="18">
        <v>7087.06</v>
      </c>
    </row>
    <row r="21" spans="1:8" x14ac:dyDescent="0.25">
      <c r="A21" s="3">
        <v>45240</v>
      </c>
      <c r="B21" s="2">
        <v>702</v>
      </c>
      <c r="C21">
        <v>166.60000600000001</v>
      </c>
      <c r="D21">
        <v>86.160004000000001</v>
      </c>
      <c r="E21">
        <v>57.369999</v>
      </c>
      <c r="F21">
        <v>8.2249999999999996</v>
      </c>
      <c r="G21" s="6">
        <v>9.1</v>
      </c>
      <c r="H21" s="15">
        <v>7045.04</v>
      </c>
    </row>
    <row r="22" spans="1:8" x14ac:dyDescent="0.25">
      <c r="A22" s="3">
        <v>45239</v>
      </c>
      <c r="B22" s="8">
        <v>705</v>
      </c>
      <c r="C22">
        <v>166.11999499999999</v>
      </c>
      <c r="D22">
        <v>86.660004000000001</v>
      </c>
      <c r="E22">
        <v>57.380001</v>
      </c>
      <c r="F22">
        <v>8.2449999999999992</v>
      </c>
      <c r="G22" s="6">
        <v>9.1999999999999993</v>
      </c>
      <c r="H22" s="18">
        <v>7113.66</v>
      </c>
    </row>
    <row r="23" spans="1:8" x14ac:dyDescent="0.25">
      <c r="A23" s="3">
        <v>45238</v>
      </c>
      <c r="B23" s="2">
        <v>697.90002400000003</v>
      </c>
      <c r="C23">
        <v>163.41999799999999</v>
      </c>
      <c r="D23">
        <v>87</v>
      </c>
      <c r="E23">
        <v>56.91</v>
      </c>
      <c r="F23">
        <v>8.23</v>
      </c>
      <c r="G23" s="6">
        <v>8.6999999999999993</v>
      </c>
      <c r="H23" s="15">
        <v>7034.16</v>
      </c>
    </row>
    <row r="25" spans="1:8" x14ac:dyDescent="0.25">
      <c r="A25" s="1" t="s">
        <v>7</v>
      </c>
      <c r="B25">
        <v>729.5</v>
      </c>
      <c r="C25">
        <v>174.04</v>
      </c>
      <c r="D25">
        <v>96.02</v>
      </c>
      <c r="E25">
        <v>59.14</v>
      </c>
      <c r="F25">
        <v>9.2550000000000008</v>
      </c>
      <c r="G25" s="7">
        <v>9.11</v>
      </c>
    </row>
    <row r="27" spans="1:8" x14ac:dyDescent="0.25">
      <c r="B27" t="s">
        <v>22</v>
      </c>
      <c r="C27" s="64">
        <v>0.03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52FD1-729E-43AC-92BB-717E90EC4D50}">
  <sheetPr codeName="Feuil2"/>
  <dimension ref="A1:B8"/>
  <sheetViews>
    <sheetView workbookViewId="0">
      <selection activeCell="B13" sqref="B13"/>
    </sheetView>
  </sheetViews>
  <sheetFormatPr baseColWidth="10" defaultRowHeight="15" x14ac:dyDescent="0.25"/>
  <cols>
    <col min="1" max="1" width="16.85546875" customWidth="1"/>
    <col min="2" max="3" width="29.42578125" customWidth="1"/>
  </cols>
  <sheetData>
    <row r="1" spans="1:2" x14ac:dyDescent="0.25">
      <c r="A1" s="14" t="s">
        <v>8</v>
      </c>
      <c r="B1" s="14" t="s">
        <v>9</v>
      </c>
    </row>
    <row r="2" spans="1:2" ht="16.899999999999999" customHeight="1" x14ac:dyDescent="0.25">
      <c r="A2" s="73"/>
      <c r="B2" s="73"/>
    </row>
    <row r="3" spans="1:2" ht="15.75" x14ac:dyDescent="0.25">
      <c r="A3" s="51" t="s">
        <v>12</v>
      </c>
      <c r="B3" s="10">
        <v>3</v>
      </c>
    </row>
    <row r="4" spans="1:2" ht="15.75" x14ac:dyDescent="0.25">
      <c r="A4" s="56" t="s">
        <v>5</v>
      </c>
      <c r="B4" s="17">
        <v>15</v>
      </c>
    </row>
    <row r="5" spans="1:2" ht="15.75" x14ac:dyDescent="0.25">
      <c r="A5" s="52" t="s">
        <v>3</v>
      </c>
      <c r="B5" s="12">
        <v>15</v>
      </c>
    </row>
    <row r="6" spans="1:2" ht="15.75" x14ac:dyDescent="0.25">
      <c r="A6" s="53" t="s">
        <v>2</v>
      </c>
      <c r="B6" s="16">
        <v>18</v>
      </c>
    </row>
    <row r="7" spans="1:2" ht="15.75" x14ac:dyDescent="0.25">
      <c r="A7" s="54" t="s">
        <v>6</v>
      </c>
      <c r="B7" s="11">
        <v>200</v>
      </c>
    </row>
    <row r="8" spans="1:2" ht="15.75" x14ac:dyDescent="0.25">
      <c r="A8" s="57" t="s">
        <v>4</v>
      </c>
      <c r="B8" s="62">
        <v>92</v>
      </c>
    </row>
  </sheetData>
  <mergeCells count="1">
    <mergeCell ref="A2:B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rt2">
                <anchor moveWithCells="1" sizeWithCells="1">
                  <from>
                    <xdr:col>0</xdr:col>
                    <xdr:colOff>19050</xdr:colOff>
                    <xdr:row>12</xdr:row>
                    <xdr:rowOff>180975</xdr:rowOff>
                  </from>
                  <to>
                    <xdr:col>3</xdr:col>
                    <xdr:colOff>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F3701-96C1-4EB2-8180-020392954007}">
  <sheetPr codeName="Feuil3"/>
  <dimension ref="A1:N65"/>
  <sheetViews>
    <sheetView tabSelected="1" zoomScaleNormal="100" workbookViewId="0">
      <selection activeCell="F23" sqref="F23"/>
    </sheetView>
  </sheetViews>
  <sheetFormatPr baseColWidth="10" defaultRowHeight="15" x14ac:dyDescent="0.25"/>
  <cols>
    <col min="1" max="1" width="17.42578125" customWidth="1"/>
    <col min="2" max="2" width="17.7109375" customWidth="1"/>
    <col min="3" max="3" width="17.28515625" customWidth="1"/>
    <col min="4" max="4" width="24.7109375" customWidth="1"/>
    <col min="5" max="5" width="17.28515625" customWidth="1"/>
    <col min="6" max="6" width="21.5703125" customWidth="1"/>
    <col min="7" max="7" width="20.85546875" customWidth="1"/>
    <col min="8" max="8" width="15.85546875" customWidth="1"/>
    <col min="9" max="9" width="3.85546875" customWidth="1"/>
    <col min="10" max="10" width="6.7109375" customWidth="1"/>
    <col min="11" max="11" width="29.140625" customWidth="1"/>
    <col min="13" max="13" width="21.140625" customWidth="1"/>
    <col min="15" max="15" width="12.42578125" customWidth="1"/>
    <col min="16" max="16" width="17.85546875" customWidth="1"/>
  </cols>
  <sheetData>
    <row r="1" spans="1:14" ht="19.5" thickTop="1" x14ac:dyDescent="0.3">
      <c r="A1" s="31" t="s">
        <v>11</v>
      </c>
      <c r="B1" s="30" t="s">
        <v>12</v>
      </c>
      <c r="C1" s="25" t="s">
        <v>5</v>
      </c>
      <c r="D1" s="26" t="s">
        <v>3</v>
      </c>
      <c r="E1" s="27" t="s">
        <v>2</v>
      </c>
      <c r="F1" s="28" t="s">
        <v>6</v>
      </c>
      <c r="G1" s="29" t="s">
        <v>4</v>
      </c>
      <c r="H1" s="59" t="s">
        <v>20</v>
      </c>
      <c r="I1" s="75"/>
      <c r="J1" s="34"/>
      <c r="K1" s="35"/>
      <c r="L1" s="35"/>
      <c r="M1" s="35"/>
      <c r="N1" s="36"/>
    </row>
    <row r="2" spans="1:14" ht="18.75" x14ac:dyDescent="0.3">
      <c r="A2" s="32" t="s">
        <v>13</v>
      </c>
      <c r="B2" s="45">
        <v>2.5569284151146822E-2</v>
      </c>
      <c r="C2" s="46">
        <v>6.259741671868628E-2</v>
      </c>
      <c r="D2" s="47">
        <v>9.7260252417697729E-2</v>
      </c>
      <c r="E2" s="48">
        <v>3.8798863355000365E-2</v>
      </c>
      <c r="F2" s="49">
        <v>0.10680436909063561</v>
      </c>
      <c r="G2" s="50">
        <v>5.6322890922988589E-2</v>
      </c>
      <c r="H2" s="60">
        <v>5.4947309445542387E-2</v>
      </c>
      <c r="I2" s="75"/>
      <c r="J2" s="37"/>
      <c r="K2" s="38"/>
      <c r="L2" s="38"/>
      <c r="M2" s="38"/>
      <c r="N2" s="39"/>
    </row>
    <row r="3" spans="1:14" ht="18.75" x14ac:dyDescent="0.3">
      <c r="A3" s="32" t="s">
        <v>14</v>
      </c>
      <c r="B3" s="45">
        <v>6.3299999999999995E-2</v>
      </c>
      <c r="C3" s="46">
        <v>2.7099999999999999E-2</v>
      </c>
      <c r="D3" s="47">
        <v>4.8500000000000001E-2</v>
      </c>
      <c r="E3" s="48">
        <v>2.6200000000000001E-2</v>
      </c>
      <c r="F3" s="49">
        <v>8.4099999999999994E-2</v>
      </c>
      <c r="G3" s="50">
        <v>0.16239999999999999</v>
      </c>
      <c r="H3" s="60">
        <v>2.63E-2</v>
      </c>
      <c r="I3" s="75"/>
      <c r="J3" s="37"/>
      <c r="K3" s="38"/>
      <c r="L3" s="38"/>
      <c r="M3" s="38"/>
      <c r="N3" s="39"/>
    </row>
    <row r="4" spans="1:14" ht="18.75" x14ac:dyDescent="0.3">
      <c r="A4" s="32" t="s">
        <v>15</v>
      </c>
      <c r="B4" s="20">
        <v>0.47</v>
      </c>
      <c r="C4" s="21">
        <v>0.34</v>
      </c>
      <c r="D4" s="22">
        <v>1.03</v>
      </c>
      <c r="E4" s="23">
        <v>0.05</v>
      </c>
      <c r="F4" s="19">
        <v>1.76</v>
      </c>
      <c r="G4" s="24">
        <v>2.0299999999999998</v>
      </c>
      <c r="H4" s="61">
        <v>1</v>
      </c>
      <c r="I4" s="75"/>
      <c r="J4" s="37"/>
      <c r="K4" s="38"/>
      <c r="L4" s="38"/>
      <c r="M4" s="38"/>
      <c r="N4" s="39"/>
    </row>
    <row r="5" spans="1:14" ht="18.75" x14ac:dyDescent="0.3">
      <c r="A5" s="32" t="s">
        <v>16</v>
      </c>
      <c r="B5" s="45">
        <v>4.1700000000000001E-2</v>
      </c>
      <c r="C5" s="46">
        <v>3.85E-2</v>
      </c>
      <c r="D5" s="47">
        <v>5.57E-2</v>
      </c>
      <c r="E5" s="48">
        <v>3.1199999999999999E-2</v>
      </c>
      <c r="F5" s="49">
        <v>7.3899999999999993E-2</v>
      </c>
      <c r="G5" s="50">
        <v>8.0600000000000005E-2</v>
      </c>
      <c r="H5" s="60">
        <v>5.4899999999999997E-2</v>
      </c>
      <c r="I5" s="75"/>
      <c r="J5" s="37"/>
      <c r="K5" s="38"/>
      <c r="L5" s="38"/>
      <c r="M5" s="38"/>
      <c r="N5" s="39"/>
    </row>
    <row r="6" spans="1:14" x14ac:dyDescent="0.25">
      <c r="I6" s="75"/>
      <c r="J6" s="37"/>
      <c r="K6" s="38"/>
      <c r="L6" s="38"/>
      <c r="M6" s="38"/>
      <c r="N6" s="39"/>
    </row>
    <row r="7" spans="1:14" ht="18.75" x14ac:dyDescent="0.3">
      <c r="B7" s="76" t="s">
        <v>17</v>
      </c>
      <c r="C7" s="78"/>
      <c r="D7" s="77"/>
      <c r="I7" s="75"/>
      <c r="J7" s="37"/>
      <c r="K7" s="38"/>
      <c r="L7" s="38"/>
      <c r="M7" s="38"/>
      <c r="N7" s="39"/>
    </row>
    <row r="8" spans="1:14" x14ac:dyDescent="0.25">
      <c r="I8" s="75"/>
      <c r="J8" s="37"/>
      <c r="K8" s="38"/>
      <c r="L8" s="40"/>
      <c r="M8" s="38"/>
      <c r="N8" s="39"/>
    </row>
    <row r="9" spans="1:14" ht="15.75" x14ac:dyDescent="0.25">
      <c r="B9" s="51" t="s">
        <v>12</v>
      </c>
      <c r="C9" s="25" t="s">
        <v>5</v>
      </c>
      <c r="D9" s="52" t="s">
        <v>3</v>
      </c>
      <c r="E9" s="53" t="s">
        <v>2</v>
      </c>
      <c r="F9" s="54" t="s">
        <v>6</v>
      </c>
      <c r="G9" s="57" t="s">
        <v>4</v>
      </c>
      <c r="H9" s="55" t="s">
        <v>10</v>
      </c>
      <c r="I9" s="75"/>
      <c r="J9" s="37"/>
      <c r="K9" s="38"/>
      <c r="L9" s="38"/>
      <c r="M9" s="38"/>
      <c r="N9" s="39"/>
    </row>
    <row r="10" spans="1:14" ht="15.75" x14ac:dyDescent="0.25">
      <c r="A10" s="51" t="s">
        <v>12</v>
      </c>
      <c r="B10">
        <v>1</v>
      </c>
      <c r="C10">
        <v>-0.35898303332288428</v>
      </c>
      <c r="D10">
        <v>-7.0204708673168525E-2</v>
      </c>
      <c r="E10">
        <v>-0.34407209201974975</v>
      </c>
      <c r="F10">
        <v>1.3435326421660489E-2</v>
      </c>
      <c r="G10">
        <v>0.31793051445858156</v>
      </c>
      <c r="H10">
        <v>0.19575640614048703</v>
      </c>
      <c r="I10" s="75"/>
      <c r="J10" s="37"/>
      <c r="K10" s="38"/>
      <c r="L10" s="38"/>
      <c r="M10" s="38"/>
      <c r="N10" s="39"/>
    </row>
    <row r="11" spans="1:14" ht="15.75" x14ac:dyDescent="0.25">
      <c r="A11" s="56" t="s">
        <v>5</v>
      </c>
      <c r="B11">
        <v>-0.35898303332288428</v>
      </c>
      <c r="C11">
        <v>1</v>
      </c>
      <c r="D11">
        <v>9.9763735752634655E-2</v>
      </c>
      <c r="E11">
        <v>0.44886939725484837</v>
      </c>
      <c r="F11">
        <v>0.14493515002064244</v>
      </c>
      <c r="G11">
        <v>-0.11355110596890602</v>
      </c>
      <c r="H11">
        <v>0.33343590569545734</v>
      </c>
      <c r="I11" s="75"/>
      <c r="J11" s="37"/>
      <c r="K11" s="38"/>
      <c r="L11" s="38"/>
      <c r="M11" s="38"/>
      <c r="N11" s="39"/>
    </row>
    <row r="12" spans="1:14" ht="15.75" x14ac:dyDescent="0.25">
      <c r="A12" s="52" t="s">
        <v>3</v>
      </c>
      <c r="B12">
        <v>-7.0204708673168525E-2</v>
      </c>
      <c r="C12">
        <v>9.9763735752634655E-2</v>
      </c>
      <c r="D12">
        <v>1</v>
      </c>
      <c r="E12">
        <v>-0.21442925965133214</v>
      </c>
      <c r="F12">
        <v>0.44360489132900799</v>
      </c>
      <c r="G12">
        <v>-0.22767823397735501</v>
      </c>
      <c r="H12">
        <v>0.55924449651690034</v>
      </c>
      <c r="I12" s="75"/>
      <c r="J12" s="37"/>
      <c r="K12" s="38"/>
      <c r="L12" s="38"/>
      <c r="M12" s="38"/>
      <c r="N12" s="39"/>
    </row>
    <row r="13" spans="1:14" ht="15.75" x14ac:dyDescent="0.25">
      <c r="A13" s="53" t="s">
        <v>2</v>
      </c>
      <c r="B13">
        <v>-0.34407209201974975</v>
      </c>
      <c r="C13">
        <v>0.44886939725484837</v>
      </c>
      <c r="D13">
        <v>-0.21442925965133214</v>
      </c>
      <c r="E13">
        <v>0.99999999999999989</v>
      </c>
      <c r="F13">
        <v>-0.21920539608727599</v>
      </c>
      <c r="G13">
        <v>-0.21160125800736387</v>
      </c>
      <c r="H13">
        <v>4.8435953144099292E-2</v>
      </c>
      <c r="I13" s="75"/>
      <c r="J13" s="37"/>
      <c r="K13" s="38"/>
      <c r="L13" s="38"/>
      <c r="M13" s="38"/>
      <c r="N13" s="39"/>
    </row>
    <row r="14" spans="1:14" ht="15.75" x14ac:dyDescent="0.25">
      <c r="A14" s="54" t="s">
        <v>6</v>
      </c>
      <c r="B14">
        <v>1.3435326421660489E-2</v>
      </c>
      <c r="C14">
        <v>0.14493515002064244</v>
      </c>
      <c r="D14">
        <v>0.44360489132900799</v>
      </c>
      <c r="E14">
        <v>-0.21920539608727599</v>
      </c>
      <c r="F14">
        <v>1.0000000000000002</v>
      </c>
      <c r="G14">
        <v>0.3752766251168167</v>
      </c>
      <c r="H14">
        <v>0.55116633355250033</v>
      </c>
      <c r="I14" s="75"/>
      <c r="J14" s="37"/>
      <c r="K14" s="38"/>
      <c r="L14" s="38"/>
      <c r="M14" s="38"/>
      <c r="N14" s="39"/>
    </row>
    <row r="15" spans="1:14" ht="15.75" x14ac:dyDescent="0.25">
      <c r="A15" s="57" t="s">
        <v>4</v>
      </c>
      <c r="B15">
        <v>0.31793051445858156</v>
      </c>
      <c r="C15">
        <v>-0.11355110596890602</v>
      </c>
      <c r="D15">
        <v>-0.22767823397735501</v>
      </c>
      <c r="E15">
        <v>-0.21160125800736387</v>
      </c>
      <c r="F15">
        <v>0.3752766251168167</v>
      </c>
      <c r="G15">
        <v>1.0000000000000002</v>
      </c>
      <c r="H15">
        <v>0.32796767651479275</v>
      </c>
      <c r="I15" s="75"/>
      <c r="J15" s="37"/>
      <c r="K15" s="38"/>
      <c r="L15" s="38"/>
      <c r="M15" s="38"/>
      <c r="N15" s="39"/>
    </row>
    <row r="16" spans="1:14" ht="15.75" thickBot="1" x14ac:dyDescent="0.3">
      <c r="A16" s="55" t="s">
        <v>10</v>
      </c>
      <c r="B16">
        <v>0.19575640614048703</v>
      </c>
      <c r="C16">
        <v>0.33343590569545734</v>
      </c>
      <c r="D16">
        <v>0.55924449651690034</v>
      </c>
      <c r="E16">
        <v>4.8435953144099292E-2</v>
      </c>
      <c r="F16">
        <v>0.55116633355250033</v>
      </c>
      <c r="G16">
        <v>0.32796767651479275</v>
      </c>
      <c r="H16">
        <v>1.0000000000000002</v>
      </c>
      <c r="I16" s="75"/>
      <c r="J16" s="41"/>
      <c r="K16" s="42"/>
      <c r="L16" s="42"/>
      <c r="M16" s="42"/>
      <c r="N16" s="43"/>
    </row>
    <row r="17" spans="1:12" ht="15.75" thickTop="1" x14ac:dyDescent="0.25">
      <c r="I17" s="75"/>
    </row>
    <row r="18" spans="1:12" x14ac:dyDescent="0.25">
      <c r="I18" s="75"/>
    </row>
    <row r="19" spans="1:12" ht="18.75" x14ac:dyDescent="0.3">
      <c r="A19" s="76" t="s">
        <v>21</v>
      </c>
      <c r="B19" s="77"/>
      <c r="I19" s="75"/>
      <c r="K19" s="33" t="s">
        <v>18</v>
      </c>
      <c r="L19" s="44">
        <v>6.2283729192047756E-2</v>
      </c>
    </row>
    <row r="20" spans="1:12" x14ac:dyDescent="0.25">
      <c r="I20" s="75"/>
    </row>
    <row r="21" spans="1:12" ht="18.75" x14ac:dyDescent="0.3">
      <c r="A21" s="14" t="s">
        <v>8</v>
      </c>
      <c r="B21" s="14" t="s">
        <v>9</v>
      </c>
      <c r="I21" s="75"/>
      <c r="K21" s="58" t="s">
        <v>19</v>
      </c>
      <c r="L21" s="44">
        <v>3.0515225446659543E-2</v>
      </c>
    </row>
    <row r="22" spans="1:12" x14ac:dyDescent="0.25">
      <c r="A22" s="73"/>
      <c r="B22" s="73"/>
      <c r="I22" s="75"/>
    </row>
    <row r="23" spans="1:12" ht="15.75" x14ac:dyDescent="0.25">
      <c r="A23" s="51" t="s">
        <v>12</v>
      </c>
      <c r="B23" s="10">
        <v>3</v>
      </c>
      <c r="I23" s="75"/>
    </row>
    <row r="24" spans="1:12" ht="15.75" x14ac:dyDescent="0.25">
      <c r="A24" s="56" t="s">
        <v>5</v>
      </c>
      <c r="B24" s="17">
        <v>15</v>
      </c>
      <c r="I24" s="75"/>
    </row>
    <row r="25" spans="1:12" ht="15.75" x14ac:dyDescent="0.25">
      <c r="A25" s="52" t="s">
        <v>3</v>
      </c>
      <c r="B25" s="12">
        <v>15</v>
      </c>
      <c r="I25" s="75"/>
    </row>
    <row r="26" spans="1:12" ht="15.75" x14ac:dyDescent="0.25">
      <c r="A26" s="53" t="s">
        <v>2</v>
      </c>
      <c r="B26" s="16">
        <v>18</v>
      </c>
      <c r="I26" s="75"/>
    </row>
    <row r="27" spans="1:12" ht="15.75" x14ac:dyDescent="0.25">
      <c r="A27" s="54" t="s">
        <v>6</v>
      </c>
      <c r="B27" s="11">
        <v>200</v>
      </c>
      <c r="I27" s="75"/>
    </row>
    <row r="28" spans="1:12" ht="15.75" x14ac:dyDescent="0.25">
      <c r="A28" s="57" t="s">
        <v>4</v>
      </c>
      <c r="B28" s="62">
        <v>92</v>
      </c>
      <c r="I28" s="75"/>
    </row>
    <row r="29" spans="1:12" x14ac:dyDescent="0.25">
      <c r="I29" s="75"/>
    </row>
    <row r="30" spans="1:12" ht="18.75" x14ac:dyDescent="0.3">
      <c r="A30" s="76" t="s">
        <v>31</v>
      </c>
      <c r="B30" s="77"/>
      <c r="D30" s="76" t="s">
        <v>23</v>
      </c>
      <c r="E30" s="77"/>
      <c r="G30" s="76" t="s">
        <v>32</v>
      </c>
      <c r="H30" s="77"/>
      <c r="I30" s="75"/>
    </row>
    <row r="31" spans="1:12" x14ac:dyDescent="0.25">
      <c r="I31" s="72"/>
    </row>
    <row r="32" spans="1:12" x14ac:dyDescent="0.25">
      <c r="A32" s="14" t="s">
        <v>8</v>
      </c>
      <c r="B32" s="14" t="s">
        <v>9</v>
      </c>
      <c r="D32" s="14" t="s">
        <v>8</v>
      </c>
      <c r="E32" s="14" t="s">
        <v>9</v>
      </c>
      <c r="G32" s="14" t="s">
        <v>8</v>
      </c>
      <c r="H32" s="14" t="s">
        <v>9</v>
      </c>
      <c r="I32" s="72"/>
    </row>
    <row r="33" spans="1:12" x14ac:dyDescent="0.25">
      <c r="A33" s="73"/>
      <c r="B33" s="73"/>
      <c r="D33" s="73"/>
      <c r="E33" s="73"/>
      <c r="G33" s="73"/>
      <c r="H33" s="73"/>
      <c r="I33" s="72"/>
    </row>
    <row r="34" spans="1:12" ht="15.75" x14ac:dyDescent="0.25">
      <c r="A34" s="51" t="s">
        <v>12</v>
      </c>
      <c r="B34" s="10">
        <v>1</v>
      </c>
      <c r="D34" s="51" t="s">
        <v>12</v>
      </c>
      <c r="E34" s="10">
        <v>3</v>
      </c>
      <c r="G34" s="51" t="s">
        <v>12</v>
      </c>
      <c r="H34" s="10">
        <v>1</v>
      </c>
      <c r="I34" s="72"/>
    </row>
    <row r="35" spans="1:12" ht="15.75" x14ac:dyDescent="0.25">
      <c r="A35" s="56" t="s">
        <v>5</v>
      </c>
      <c r="B35" s="17">
        <v>15</v>
      </c>
      <c r="D35" s="56" t="s">
        <v>5</v>
      </c>
      <c r="E35" s="17">
        <v>15</v>
      </c>
      <c r="G35" s="56" t="s">
        <v>5</v>
      </c>
      <c r="H35" s="17">
        <v>15</v>
      </c>
      <c r="I35" s="72"/>
    </row>
    <row r="36" spans="1:12" ht="15.75" x14ac:dyDescent="0.25">
      <c r="A36" s="52" t="s">
        <v>3</v>
      </c>
      <c r="B36" s="12">
        <v>15</v>
      </c>
      <c r="D36" s="52" t="s">
        <v>3</v>
      </c>
      <c r="E36" s="12">
        <v>15</v>
      </c>
      <c r="G36" s="52" t="s">
        <v>3</v>
      </c>
      <c r="H36" s="12">
        <v>23</v>
      </c>
      <c r="I36" s="72"/>
    </row>
    <row r="37" spans="1:12" ht="15.75" x14ac:dyDescent="0.25">
      <c r="A37" s="53" t="s">
        <v>2</v>
      </c>
      <c r="B37" s="16">
        <v>18</v>
      </c>
      <c r="D37" s="53" t="s">
        <v>2</v>
      </c>
      <c r="E37" s="16">
        <v>32</v>
      </c>
      <c r="G37" s="53" t="s">
        <v>2</v>
      </c>
      <c r="H37" s="16">
        <v>18</v>
      </c>
      <c r="I37" s="72"/>
    </row>
    <row r="38" spans="1:12" ht="15.75" x14ac:dyDescent="0.25">
      <c r="A38" s="54" t="s">
        <v>6</v>
      </c>
      <c r="B38" s="11">
        <v>307</v>
      </c>
      <c r="D38" s="54" t="s">
        <v>6</v>
      </c>
      <c r="E38" s="11">
        <v>200</v>
      </c>
      <c r="G38" s="54" t="s">
        <v>6</v>
      </c>
      <c r="H38" s="11">
        <v>200</v>
      </c>
      <c r="I38" s="72"/>
    </row>
    <row r="39" spans="1:12" ht="15.75" x14ac:dyDescent="0.25">
      <c r="A39" s="57" t="s">
        <v>4</v>
      </c>
      <c r="B39" s="62">
        <v>92</v>
      </c>
      <c r="D39" s="57" t="s">
        <v>4</v>
      </c>
      <c r="E39" s="62">
        <v>1</v>
      </c>
      <c r="G39" s="57" t="s">
        <v>4</v>
      </c>
      <c r="H39" s="62">
        <v>92</v>
      </c>
      <c r="I39" s="72"/>
    </row>
    <row r="40" spans="1:12" x14ac:dyDescent="0.25">
      <c r="I40" s="72"/>
    </row>
    <row r="41" spans="1:12" x14ac:dyDescent="0.25">
      <c r="I41" s="72"/>
    </row>
    <row r="42" spans="1:12" x14ac:dyDescent="0.25">
      <c r="I42" s="72"/>
    </row>
    <row r="43" spans="1:12" ht="18.75" x14ac:dyDescent="0.3">
      <c r="A43" s="33" t="s">
        <v>18</v>
      </c>
      <c r="B43" s="44">
        <v>7.2604895011848317E-2</v>
      </c>
      <c r="D43" s="33" t="s">
        <v>18</v>
      </c>
      <c r="E43" s="63">
        <v>6.1627625675800587E-2</v>
      </c>
      <c r="G43" s="33" t="s">
        <v>18</v>
      </c>
      <c r="H43" s="63">
        <v>7.1145282473620883E-2</v>
      </c>
      <c r="I43" s="72"/>
    </row>
    <row r="44" spans="1:12" x14ac:dyDescent="0.25">
      <c r="I44" s="72"/>
    </row>
    <row r="45" spans="1:12" ht="18.75" x14ac:dyDescent="0.3">
      <c r="A45" s="58" t="s">
        <v>19</v>
      </c>
      <c r="B45" s="63">
        <v>3.6226718815618286E-2</v>
      </c>
      <c r="D45" s="58" t="s">
        <v>19</v>
      </c>
      <c r="E45" s="63">
        <v>2.2907015171574844E-2</v>
      </c>
      <c r="G45" s="58" t="s">
        <v>19</v>
      </c>
      <c r="H45" s="63">
        <v>3.0952378560098547E-2</v>
      </c>
      <c r="I45" s="72"/>
      <c r="L45" s="63"/>
    </row>
    <row r="46" spans="1:12" ht="18.75" x14ac:dyDescent="0.3">
      <c r="A46" s="69"/>
      <c r="B46" s="63"/>
      <c r="D46" s="69"/>
      <c r="E46" s="63"/>
      <c r="G46" s="69"/>
      <c r="H46" s="63"/>
      <c r="I46" s="72"/>
      <c r="L46" s="63"/>
    </row>
    <row r="47" spans="1:12" s="72" customFormat="1" ht="18.75" x14ac:dyDescent="0.3">
      <c r="A47" s="70"/>
      <c r="B47" s="71"/>
      <c r="D47" s="70"/>
      <c r="E47" s="71"/>
      <c r="G47" s="70"/>
      <c r="H47" s="71"/>
      <c r="L47" s="71"/>
    </row>
    <row r="48" spans="1:12" ht="18.75" x14ac:dyDescent="0.3">
      <c r="A48" s="69"/>
      <c r="B48" s="63"/>
      <c r="D48" s="69"/>
      <c r="E48" s="63"/>
      <c r="G48" s="69"/>
      <c r="H48" s="63"/>
      <c r="L48" s="63"/>
    </row>
    <row r="49" spans="1:8" ht="18.75" x14ac:dyDescent="0.3">
      <c r="B49" s="74" t="s">
        <v>24</v>
      </c>
      <c r="C49" s="74"/>
      <c r="D49" s="74"/>
      <c r="H49" s="65" t="s">
        <v>25</v>
      </c>
    </row>
    <row r="50" spans="1:8" ht="18.75" x14ac:dyDescent="0.3">
      <c r="A50" s="33" t="s">
        <v>26</v>
      </c>
      <c r="B50" s="44">
        <v>0</v>
      </c>
      <c r="D50" s="33" t="s">
        <v>13</v>
      </c>
      <c r="E50" s="44">
        <f>D2*B50+B51*F2</f>
        <v>0.10680436909063561</v>
      </c>
      <c r="G50" s="33" t="s">
        <v>3</v>
      </c>
      <c r="H50" s="66">
        <v>0</v>
      </c>
    </row>
    <row r="51" spans="1:8" ht="18.75" x14ac:dyDescent="0.3">
      <c r="A51" s="58" t="s">
        <v>27</v>
      </c>
      <c r="B51" s="44">
        <v>1</v>
      </c>
      <c r="D51" s="33" t="s">
        <v>14</v>
      </c>
      <c r="E51" s="44">
        <f>SQRT(((D3^2)*(B51^2))+(((F3^2)*(B52^2)))+(2*(F7*D3*F3)))</f>
        <v>9.7082748209967762E-2</v>
      </c>
      <c r="G51" s="58" t="s">
        <v>6</v>
      </c>
      <c r="H51" s="66">
        <v>1080</v>
      </c>
    </row>
    <row r="52" spans="1:8" x14ac:dyDescent="0.25">
      <c r="B52" s="67">
        <f>B51+B50</f>
        <v>1</v>
      </c>
    </row>
    <row r="54" spans="1:8" x14ac:dyDescent="0.25">
      <c r="B54" s="74" t="s">
        <v>28</v>
      </c>
      <c r="C54" s="74"/>
      <c r="D54" s="74"/>
    </row>
    <row r="55" spans="1:8" ht="18.75" x14ac:dyDescent="0.3">
      <c r="H55" s="65" t="s">
        <v>25</v>
      </c>
    </row>
    <row r="56" spans="1:8" ht="18.75" x14ac:dyDescent="0.3">
      <c r="A56" s="33" t="s">
        <v>26</v>
      </c>
      <c r="B56" s="44">
        <v>0.75042599197970605</v>
      </c>
      <c r="D56" s="33" t="s">
        <v>13</v>
      </c>
      <c r="E56" s="44">
        <f>D2*B56+F2*B57</f>
        <v>9.9642215868776141E-2</v>
      </c>
      <c r="G56" s="33" t="s">
        <v>3</v>
      </c>
      <c r="H56" s="66">
        <v>78</v>
      </c>
    </row>
    <row r="57" spans="1:8" ht="18.75" x14ac:dyDescent="0.3">
      <c r="A57" s="58" t="s">
        <v>27</v>
      </c>
      <c r="B57" s="44">
        <v>0.24957400802029386</v>
      </c>
      <c r="D57" s="33" t="s">
        <v>14</v>
      </c>
      <c r="E57" s="44">
        <f>SQRT(((D$3^2)*(B$56^2))+(((F$3^2)*(B$57^2)))+(2*(F$12*D$3*F$3)))</f>
        <v>7.3375644199126705E-2</v>
      </c>
      <c r="G57" s="58" t="s">
        <v>6</v>
      </c>
      <c r="H57" s="68">
        <v>269</v>
      </c>
    </row>
    <row r="58" spans="1:8" x14ac:dyDescent="0.25">
      <c r="B58" s="67">
        <f>B57+B56</f>
        <v>0.99999999999999989</v>
      </c>
    </row>
    <row r="60" spans="1:8" x14ac:dyDescent="0.25">
      <c r="B60" s="74" t="s">
        <v>29</v>
      </c>
      <c r="C60" s="74"/>
      <c r="D60" s="74"/>
    </row>
    <row r="61" spans="1:8" ht="18.75" x14ac:dyDescent="0.3">
      <c r="H61" s="65" t="s">
        <v>25</v>
      </c>
    </row>
    <row r="62" spans="1:8" ht="18.75" x14ac:dyDescent="0.3">
      <c r="A62" s="33" t="s">
        <v>26</v>
      </c>
      <c r="B62" s="44">
        <v>0.67214020757082593</v>
      </c>
      <c r="D62" s="33" t="s">
        <v>30</v>
      </c>
      <c r="E62" s="44">
        <f>(E64-0.03)/E65</f>
        <v>0.95419678110957895</v>
      </c>
      <c r="G62" s="33" t="s">
        <v>3</v>
      </c>
      <c r="H62" s="66">
        <v>70</v>
      </c>
    </row>
    <row r="63" spans="1:8" ht="18.75" x14ac:dyDescent="0.3">
      <c r="A63" s="58" t="s">
        <v>27</v>
      </c>
      <c r="B63" s="44">
        <v>0.32785979242917396</v>
      </c>
      <c r="G63" s="58" t="s">
        <v>6</v>
      </c>
      <c r="H63" s="68">
        <v>354</v>
      </c>
    </row>
    <row r="64" spans="1:8" ht="18.75" x14ac:dyDescent="0.3">
      <c r="B64" s="67">
        <f>B63+B62</f>
        <v>0.99999999999999989</v>
      </c>
      <c r="D64" s="33" t="s">
        <v>13</v>
      </c>
      <c r="E64" s="44">
        <f>B62*D2+B63*F2</f>
        <v>0.10038938452900695</v>
      </c>
    </row>
    <row r="65" spans="4:5" ht="18.75" x14ac:dyDescent="0.3">
      <c r="D65" s="33" t="s">
        <v>14</v>
      </c>
      <c r="E65" s="44">
        <f>SQRT(((D$3^2)*(B62^2))+(((F$3^2)*(B63^2)))+(2*(F$12*D$3*F$3)))</f>
        <v>7.376820580672605E-2</v>
      </c>
    </row>
  </sheetData>
  <mergeCells count="13">
    <mergeCell ref="B49:D49"/>
    <mergeCell ref="B54:D54"/>
    <mergeCell ref="B60:D60"/>
    <mergeCell ref="I1:I30"/>
    <mergeCell ref="A30:B30"/>
    <mergeCell ref="A33:B33"/>
    <mergeCell ref="D30:E30"/>
    <mergeCell ref="D33:E33"/>
    <mergeCell ref="G30:H30"/>
    <mergeCell ref="G33:H33"/>
    <mergeCell ref="B7:D7"/>
    <mergeCell ref="A22:B22"/>
    <mergeCell ref="A19:B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t2_bis">
                <anchor moveWithCells="1" sizeWithCells="1">
                  <from>
                    <xdr:col>2</xdr:col>
                    <xdr:colOff>933450</xdr:colOff>
                    <xdr:row>19</xdr:row>
                    <xdr:rowOff>142875</xdr:rowOff>
                  </from>
                  <to>
                    <xdr:col>4</xdr:col>
                    <xdr:colOff>171450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AF3010-693E-466A-AF53-87C3A1BC21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Input Data</vt:lpstr>
      <vt:lpstr>Userform</vt:lpstr>
      <vt:lpstr>Output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TOSSOU</dc:creator>
  <cp:lastModifiedBy>Vincent TOSSOU</cp:lastModifiedBy>
  <dcterms:created xsi:type="dcterms:W3CDTF">2015-06-05T18:19:34Z</dcterms:created>
  <dcterms:modified xsi:type="dcterms:W3CDTF">2023-12-13T23:25:32Z</dcterms:modified>
</cp:coreProperties>
</file>